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6f133e059755b5/SCRIPT TAMPERMONKEY/Kerjaku/"/>
    </mc:Choice>
  </mc:AlternateContent>
  <xr:revisionPtr revIDLastSave="193" documentId="8_{848DFA7F-C708-4B3A-A593-29E660D4EA5F}" xr6:coauthVersionLast="47" xr6:coauthVersionMax="47" xr10:uidLastSave="{516771C9-6675-4F01-8D2B-25008D22B5D1}"/>
  <bookViews>
    <workbookView xWindow="-108" yWindow="-108" windowWidth="23256" windowHeight="12456" activeTab="1" xr2:uid="{E2C05058-1B23-4DD0-A60D-DB7A4B1DBCD6}"/>
  </bookViews>
  <sheets>
    <sheet name="data" sheetId="1" r:id="rId1"/>
    <sheet name="ref_activity" sheetId="2" r:id="rId2"/>
    <sheet name="rumus tanggal" sheetId="5" r:id="rId3"/>
  </sheets>
  <definedNames>
    <definedName name="value_rencana">ref_activity!$I$2:$L$6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9" i="1" l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F4" i="1"/>
  <c r="H3" i="1"/>
  <c r="F3" i="1"/>
  <c r="G21" i="5" l="1"/>
  <c r="H21" i="5"/>
  <c r="I21" i="5"/>
  <c r="G22" i="5"/>
  <c r="H22" i="5"/>
  <c r="I22" i="5"/>
  <c r="H2" i="1"/>
  <c r="F2" i="1"/>
  <c r="G18" i="5"/>
  <c r="H18" i="5"/>
  <c r="I18" i="5"/>
  <c r="G19" i="5"/>
  <c r="H19" i="5"/>
  <c r="I19" i="5"/>
  <c r="G20" i="5"/>
  <c r="H20" i="5"/>
  <c r="I20" i="5"/>
  <c r="G2" i="5"/>
  <c r="H2" i="5"/>
  <c r="G3" i="5"/>
  <c r="H3" i="5"/>
  <c r="G4" i="5"/>
  <c r="H4" i="5"/>
  <c r="G5" i="5"/>
  <c r="H5" i="5"/>
  <c r="G6" i="5"/>
  <c r="H6" i="5"/>
  <c r="G7" i="5"/>
  <c r="H7" i="5"/>
  <c r="G8" i="5"/>
  <c r="H8" i="5"/>
  <c r="G9" i="5"/>
  <c r="H9" i="5"/>
  <c r="G10" i="5"/>
  <c r="H10" i="5"/>
  <c r="G11" i="5"/>
  <c r="H11" i="5"/>
  <c r="G12" i="5"/>
  <c r="H12" i="5"/>
  <c r="G13" i="5"/>
  <c r="H13" i="5"/>
  <c r="G14" i="5"/>
  <c r="H14" i="5"/>
  <c r="G15" i="5"/>
  <c r="H15" i="5"/>
  <c r="G16" i="5"/>
  <c r="H16" i="5"/>
  <c r="G17" i="5"/>
  <c r="H17" i="5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</calcChain>
</file>

<file path=xl/sharedStrings.xml><?xml version="1.0" encoding="utf-8"?>
<sst xmlns="http://schemas.openxmlformats.org/spreadsheetml/2006/main" count="254" uniqueCount="137">
  <si>
    <t>Tanggal</t>
  </si>
  <si>
    <t>jam mulai</t>
  </si>
  <si>
    <t>jam akhir</t>
  </si>
  <si>
    <t>Aktivitas</t>
  </si>
  <si>
    <t>Catatan</t>
  </si>
  <si>
    <t>IDE_BK</t>
  </si>
  <si>
    <t>output</t>
  </si>
  <si>
    <t>satuan</t>
  </si>
  <si>
    <t>07:30</t>
  </si>
  <si>
    <t>Data</t>
  </si>
  <si>
    <t>12:00</t>
  </si>
  <si>
    <t>administrasi kepegawaian</t>
  </si>
  <si>
    <t>Kegiatan</t>
  </si>
  <si>
    <t>13:00</t>
  </si>
  <si>
    <t>15:00</t>
  </si>
  <si>
    <t>15:01</t>
  </si>
  <si>
    <t>08:00</t>
  </si>
  <si>
    <t>08:01</t>
  </si>
  <si>
    <t>10:00</t>
  </si>
  <si>
    <t>10:01</t>
  </si>
  <si>
    <t>12:30</t>
  </si>
  <si>
    <t>koordinasi dengan instansi lain</t>
  </si>
  <si>
    <t>Mengikuti Apel pagi/sore</t>
  </si>
  <si>
    <t>Dokumentasi Kegiatan</t>
  </si>
  <si>
    <t>Melakukan Perjalanan Dinas Luar Daerah</t>
  </si>
  <si>
    <t>Briefing</t>
  </si>
  <si>
    <t>Mengikuti diklat/bimtek/workshop/kursus</t>
  </si>
  <si>
    <t>Nama</t>
  </si>
  <si>
    <t>IDE</t>
  </si>
  <si>
    <t>Satuan</t>
  </si>
  <si>
    <t>Laporan</t>
  </si>
  <si>
    <t>17:00 </t>
  </si>
  <si>
    <t>Melaksanakan kegiatan</t>
  </si>
  <si>
    <t>-</t>
  </si>
  <si>
    <t>16:12 </t>
  </si>
  <si>
    <t>08:08 </t>
  </si>
  <si>
    <t>08:00 </t>
  </si>
  <si>
    <t>08:20 </t>
  </si>
  <si>
    <t>16:35 </t>
  </si>
  <si>
    <t>07:28 </t>
  </si>
  <si>
    <t>17:32 </t>
  </si>
  <si>
    <t>Senin, 08-12-2025</t>
  </si>
  <si>
    <t>Selasa, 09-12-2025</t>
  </si>
  <si>
    <t>Rabu, 10-12-2025</t>
  </si>
  <si>
    <t>06:58 </t>
  </si>
  <si>
    <t>Kamis, 11-12-2025</t>
  </si>
  <si>
    <t>Jumat, 12-12-2025</t>
  </si>
  <si>
    <t>Senin, 15-12-2025</t>
  </si>
  <si>
    <t>Selasa, 16-12-2025</t>
  </si>
  <si>
    <t>Rabu, 17-12-2025</t>
  </si>
  <si>
    <t>Kamis, 18-12-2025</t>
  </si>
  <si>
    <t>Jumat, 19-12-2025</t>
  </si>
  <si>
    <t>Senin, 22-12-2025</t>
  </si>
  <si>
    <t>Selasa, 23-12-2025</t>
  </si>
  <si>
    <t>Rabu, 24-12-2025</t>
  </si>
  <si>
    <t>Senin, 29-12-2025</t>
  </si>
  <si>
    <t>Selasa, 30-12-2025</t>
  </si>
  <si>
    <t>Rabu, 31-12-2025</t>
  </si>
  <si>
    <t>07:15 </t>
  </si>
  <si>
    <t>07:59 </t>
  </si>
  <si>
    <t>19:16 </t>
  </si>
  <si>
    <t>08:45 </t>
  </si>
  <si>
    <t>07:55 </t>
  </si>
  <si>
    <t>16:44 </t>
  </si>
  <si>
    <t>17:45 </t>
  </si>
  <si>
    <t>18:58 </t>
  </si>
  <si>
    <t>06:55 </t>
  </si>
  <si>
    <t>16:33 </t>
  </si>
  <si>
    <t>07:50 </t>
  </si>
  <si>
    <t>18:18 </t>
  </si>
  <si>
    <t>09:57 </t>
  </si>
  <si>
    <t>17:15 </t>
  </si>
  <si>
    <t>18:45 </t>
  </si>
  <si>
    <t>08:40 </t>
  </si>
  <si>
    <t>17:40 </t>
  </si>
  <si>
    <t>08:14 </t>
  </si>
  <si>
    <t>18:51 </t>
  </si>
  <si>
    <t>08:09 </t>
  </si>
  <si>
    <t>16:54 </t>
  </si>
  <si>
    <t>13/04/2026</t>
  </si>
  <si>
    <t>14/04/2026</t>
  </si>
  <si>
    <t>15/04/2026</t>
  </si>
  <si>
    <t>16/04/2026</t>
  </si>
  <si>
    <t>17/04/2026</t>
  </si>
  <si>
    <t>Minggu</t>
  </si>
  <si>
    <t>Menghadiri pelantikan jabatan</t>
  </si>
  <si>
    <t>mengaji</t>
  </si>
  <si>
    <t>Menerima Laporan</t>
  </si>
  <si>
    <t>Mengikuti Upacara</t>
  </si>
  <si>
    <t>Memberikan pelayanan dan menerima pengaduan</t>
  </si>
  <si>
    <t>Konsultasi/melaporkan kepada pimpinan Wali Kota/wakil Wali Kota/sekretaris daerah</t>
  </si>
  <si>
    <t>Menghadiri Acara Ceremonial</t>
  </si>
  <si>
    <t>Menangani surat Rekomendasi</t>
  </si>
  <si>
    <t>Memantau Kebersihan Kantor</t>
  </si>
  <si>
    <t>Mendampingi kunjungan dinas</t>
  </si>
  <si>
    <t>Melaksanakan monitoring</t>
  </si>
  <si>
    <t>melaksanakan administrasi barang</t>
  </si>
  <si>
    <t>Memverifikasi dan memparaf surat</t>
  </si>
  <si>
    <t>Melakukan monitoring dan evaluasi kinerja pegawai</t>
  </si>
  <si>
    <t>Menerima tamu</t>
  </si>
  <si>
    <t>Rapat Koordinasi Dinas</t>
  </si>
  <si>
    <t>Rapat koordinasi</t>
  </si>
  <si>
    <t>Konsultasi/koordinasi dengan atasan</t>
  </si>
  <si>
    <t>Membuat laporan</t>
  </si>
  <si>
    <t>laporan per kegiatan</t>
  </si>
  <si>
    <t>Mendisposisi surat</t>
  </si>
  <si>
    <t>laporan</t>
  </si>
  <si>
    <t>Administrasi Umum</t>
  </si>
  <si>
    <t>memberikan arahan/petunjuk</t>
  </si>
  <si>
    <t>Senin, 13-04-2026</t>
  </si>
  <si>
    <t>07:23 </t>
  </si>
  <si>
    <t>16:51 </t>
  </si>
  <si>
    <t>Selasa, 14-04-2026</t>
  </si>
  <si>
    <t>07:29 </t>
  </si>
  <si>
    <t>16:47 </t>
  </si>
  <si>
    <t>Rabu, 15-04-2026</t>
  </si>
  <si>
    <t>07:22 </t>
  </si>
  <si>
    <t>18:32 </t>
  </si>
  <si>
    <t>Kamis, 16-04-2026</t>
  </si>
  <si>
    <t>07:20 </t>
  </si>
  <si>
    <t>16:48 </t>
  </si>
  <si>
    <t>Jumat, 17-04-2026</t>
  </si>
  <si>
    <t>07:13 </t>
  </si>
  <si>
    <t>16:30</t>
  </si>
  <si>
    <t>07:24</t>
  </si>
  <si>
    <t>16:51</t>
  </si>
  <si>
    <t>16:47</t>
  </si>
  <si>
    <t>07:23</t>
  </si>
  <si>
    <t>18:32</t>
  </si>
  <si>
    <t>07:21</t>
  </si>
  <si>
    <t>16:48</t>
  </si>
  <si>
    <t>07:14</t>
  </si>
  <si>
    <t>09:00</t>
  </si>
  <si>
    <t>09:01</t>
  </si>
  <si>
    <t>14:59</t>
  </si>
  <si>
    <t>Opt</t>
  </si>
  <si>
    <t>Isi Catatan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</si>
</sst>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49" fontId="0" fillId="0" borderId="0" xfId="0" applyNumberFormat="1"/>
    <xf numFmtId="18" fontId="0" fillId="0" borderId="0" xfId="0" applyNumberFormat="1" applyAlignment="1">
      <alignment vertical="top"/>
    </xf>
    <xf numFmtId="49" fontId="0" fillId="0" borderId="0" xfId="0" applyNumberFormat="1" applyAlignment="1">
      <alignment vertical="top" wrapText="1"/>
    </xf>
    <xf numFmtId="0" fontId="0" fillId="0" borderId="1" xfId="0" applyBorder="1"/>
    <xf numFmtId="49" fontId="0" fillId="0" borderId="1" xfId="0" applyNumberFormat="1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center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numFmt numFmtId="30" formatCode="@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</dxf>
    <dxf>
      <numFmt numFmtId="30" formatCode="@"/>
      <fill>
        <patternFill patternType="none">
          <fgColor theme="4" tint="0.79998168889431442"/>
          <bgColor auto="1"/>
        </patternFill>
      </fill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4401F4-9D58-4398-B0AC-BA0ADE4A3141}" name="Table1" displayName="Table1" ref="A1:J24" totalsRowShown="0" headerRowDxfId="10">
  <autoFilter ref="A1:J24" xr:uid="{F04401F4-9D58-4398-B0AC-BA0ADE4A3141}"/>
  <tableColumns count="10">
    <tableColumn id="1" xr3:uid="{92753143-92B8-4230-9705-0680347E99F3}" name="Tanggal" dataDxfId="9"/>
    <tableColumn id="16" xr3:uid="{A38DE765-C13D-4A8E-B933-A524F1D722E6}" name="jam mulai" dataDxfId="8"/>
    <tableColumn id="15" xr3:uid="{CAB9B518-7CD3-49D8-808A-E210A383A1F8}" name="jam akhir" dataDxfId="7"/>
    <tableColumn id="2" xr3:uid="{BC02ECA7-F2C9-4CDF-9E30-CCE7D610F24A}" name="Aktivitas"/>
    <tableColumn id="3" xr3:uid="{9985D3AD-643B-4869-BB2A-CDCEC880B5A3}" name="Catatan" dataDxfId="6"/>
    <tableColumn id="6" xr3:uid="{904236E1-FFE6-4592-AEF1-02FE416445CC}" name="IDE_BK" dataDxfId="5"/>
    <tableColumn id="4" xr3:uid="{7D434353-4921-4A79-B76B-04060FBCD964}" name="output" dataDxfId="4"/>
    <tableColumn id="5" xr3:uid="{509FF5C8-C5C9-44BC-BF02-3C51707223CB}" name="satuan" dataDxfId="3"/>
    <tableColumn id="20" xr3:uid="{E4834347-B648-4CED-94B6-9FBEBE9DBAAD}" name="Opt" dataDxfId="2"/>
    <tableColumn id="22" xr3:uid="{7057820D-34E4-4F94-82FA-2C0EF15AD002}" name="Minggu" dataDxfId="1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CB50E-74A1-4CEE-9516-E4C7B033C8ED}">
  <dimension ref="A1:J24"/>
  <sheetViews>
    <sheetView topLeftCell="A10" zoomScale="85" zoomScaleNormal="85" workbookViewId="0">
      <selection activeCell="D27" sqref="D27"/>
    </sheetView>
  </sheetViews>
  <sheetFormatPr defaultRowHeight="14.4" x14ac:dyDescent="0.3"/>
  <cols>
    <col min="1" max="1" width="14.109375" customWidth="1"/>
    <col min="2" max="3" width="15.33203125" customWidth="1"/>
    <col min="4" max="4" width="26.33203125" customWidth="1"/>
    <col min="5" max="5" width="34.33203125" style="5" customWidth="1"/>
    <col min="6" max="6" width="12" style="5" customWidth="1"/>
    <col min="7" max="7" width="10.33203125" style="1" customWidth="1"/>
    <col min="8" max="8" width="9.88671875" customWidth="1"/>
    <col min="9" max="9" width="12.109375" customWidth="1"/>
    <col min="10" max="10" width="31.5546875" customWidth="1"/>
  </cols>
  <sheetData>
    <row r="1" spans="1:10" s="13" customFormat="1" ht="36" customHeight="1" x14ac:dyDescent="0.3">
      <c r="A1" s="2" t="s">
        <v>0</v>
      </c>
      <c r="B1" s="3" t="s">
        <v>1</v>
      </c>
      <c r="C1" s="3" t="s">
        <v>2</v>
      </c>
      <c r="D1" s="2" t="s">
        <v>3</v>
      </c>
      <c r="E1" s="12" t="s">
        <v>4</v>
      </c>
      <c r="F1" s="12" t="s">
        <v>5</v>
      </c>
      <c r="G1" s="2" t="s">
        <v>6</v>
      </c>
      <c r="H1" s="2" t="s">
        <v>7</v>
      </c>
      <c r="I1" s="2" t="s">
        <v>135</v>
      </c>
      <c r="J1" s="2" t="s">
        <v>84</v>
      </c>
    </row>
    <row r="2" spans="1:10" ht="27" customHeight="1" x14ac:dyDescent="0.3">
      <c r="A2" s="4" t="s">
        <v>79</v>
      </c>
      <c r="B2" s="4" t="s">
        <v>124</v>
      </c>
      <c r="C2" s="4" t="s">
        <v>16</v>
      </c>
      <c r="D2" s="5" t="s">
        <v>22</v>
      </c>
      <c r="E2" s="5" t="s">
        <v>136</v>
      </c>
      <c r="F2" s="5">
        <f>VLOOKUP(Table1[[#This Row],[Aktivitas]],ref_activity!$A$2:$B$31,2,FALSE)</f>
        <v>4802</v>
      </c>
      <c r="G2" s="1">
        <v>1</v>
      </c>
      <c r="H2" s="5" t="str">
        <f>VLOOKUP(Table1[[#This Row],[Aktivitas]],ref_activity!$A$2:$C$31,3,FALSE)</f>
        <v>Kegiatan</v>
      </c>
      <c r="I2" s="5"/>
      <c r="J2" s="5"/>
    </row>
    <row r="3" spans="1:10" x14ac:dyDescent="0.3">
      <c r="A3" s="4" t="s">
        <v>79</v>
      </c>
      <c r="B3" s="4" t="s">
        <v>17</v>
      </c>
      <c r="C3" s="4" t="s">
        <v>132</v>
      </c>
      <c r="D3" s="5" t="s">
        <v>101</v>
      </c>
      <c r="E3" s="5" t="s">
        <v>136</v>
      </c>
      <c r="F3" s="5">
        <f>VLOOKUP(Table1[[#This Row],[Aktivitas]],ref_activity!$A$2:$B$31,2,FALSE)</f>
        <v>5410</v>
      </c>
      <c r="G3" s="1">
        <v>1</v>
      </c>
      <c r="H3" s="5" t="str">
        <f>VLOOKUP(Table1[[#This Row],[Aktivitas]],ref_activity!$A$2:$C$31,3,FALSE)</f>
        <v>Kegiatan</v>
      </c>
      <c r="I3" s="5"/>
      <c r="J3" s="5"/>
    </row>
    <row r="4" spans="1:10" x14ac:dyDescent="0.3">
      <c r="A4" s="4" t="s">
        <v>79</v>
      </c>
      <c r="B4" s="4" t="s">
        <v>133</v>
      </c>
      <c r="C4" s="4" t="s">
        <v>10</v>
      </c>
      <c r="D4" s="5" t="s">
        <v>101</v>
      </c>
      <c r="E4" s="5" t="s">
        <v>136</v>
      </c>
      <c r="F4" s="5">
        <f>VLOOKUP(Table1[[#This Row],[Aktivitas]],ref_activity!$A$2:$B$31,2,FALSE)</f>
        <v>5410</v>
      </c>
      <c r="G4" s="1">
        <v>1</v>
      </c>
      <c r="H4" s="5" t="str">
        <f>VLOOKUP(Table1[[#This Row],[Aktivitas]],ref_activity!$A$2:$C$31,3,FALSE)</f>
        <v>Kegiatan</v>
      </c>
      <c r="I4" s="5"/>
      <c r="J4" s="5"/>
    </row>
    <row r="5" spans="1:10" x14ac:dyDescent="0.3">
      <c r="A5" s="4" t="s">
        <v>79</v>
      </c>
      <c r="B5" s="4" t="s">
        <v>13</v>
      </c>
      <c r="C5" s="4" t="s">
        <v>14</v>
      </c>
      <c r="D5" s="5" t="s">
        <v>101</v>
      </c>
      <c r="E5" s="5" t="s">
        <v>136</v>
      </c>
      <c r="F5" s="5">
        <f>VLOOKUP(Table1[[#This Row],[Aktivitas]],ref_activity!$A$2:$B$31,2,FALSE)</f>
        <v>5410</v>
      </c>
      <c r="G5" s="1">
        <v>1</v>
      </c>
      <c r="H5" s="5" t="str">
        <f>VLOOKUP(Table1[[#This Row],[Aktivitas]],ref_activity!$A$2:$C$31,3,FALSE)</f>
        <v>Kegiatan</v>
      </c>
      <c r="I5" s="5"/>
      <c r="J5" s="5"/>
    </row>
    <row r="6" spans="1:10" ht="35.25" customHeight="1" x14ac:dyDescent="0.3">
      <c r="A6" s="4" t="s">
        <v>79</v>
      </c>
      <c r="B6" s="4" t="s">
        <v>15</v>
      </c>
      <c r="C6" s="4" t="s">
        <v>125</v>
      </c>
      <c r="D6" s="5" t="s">
        <v>97</v>
      </c>
      <c r="E6" s="5" t="s">
        <v>136</v>
      </c>
      <c r="F6" s="5">
        <f>VLOOKUP(Table1[[#This Row],[Aktivitas]],ref_activity!$A$2:$B$31,2,FALSE)</f>
        <v>4745</v>
      </c>
      <c r="G6" s="1">
        <v>1</v>
      </c>
      <c r="H6" s="5" t="str">
        <f>VLOOKUP(Table1[[#This Row],[Aktivitas]],ref_activity!$A$2:$C$31,3,FALSE)</f>
        <v>Kegiatan</v>
      </c>
      <c r="I6" s="5"/>
      <c r="J6" s="5"/>
    </row>
    <row r="7" spans="1:10" ht="36.75" customHeight="1" x14ac:dyDescent="0.3">
      <c r="A7" s="4" t="s">
        <v>80</v>
      </c>
      <c r="B7" s="4" t="s">
        <v>8</v>
      </c>
      <c r="C7" s="4" t="s">
        <v>18</v>
      </c>
      <c r="D7" s="5" t="s">
        <v>98</v>
      </c>
      <c r="E7" s="5" t="s">
        <v>136</v>
      </c>
      <c r="F7" s="5">
        <f>VLOOKUP(Table1[[#This Row],[Aktivitas]],ref_activity!$A$2:$B$31,2,FALSE)</f>
        <v>1108</v>
      </c>
      <c r="G7" s="1">
        <v>1</v>
      </c>
      <c r="H7" s="5" t="str">
        <f>VLOOKUP(Table1[[#This Row],[Aktivitas]],ref_activity!$A$2:$C$31,3,FALSE)</f>
        <v>Kegiatan</v>
      </c>
      <c r="I7" s="5"/>
      <c r="J7" s="9"/>
    </row>
    <row r="8" spans="1:10" ht="28.8" x14ac:dyDescent="0.3">
      <c r="A8" s="4" t="s">
        <v>80</v>
      </c>
      <c r="B8" s="4" t="s">
        <v>19</v>
      </c>
      <c r="C8" s="4" t="s">
        <v>10</v>
      </c>
      <c r="D8" s="5" t="s">
        <v>97</v>
      </c>
      <c r="E8" s="5" t="s">
        <v>136</v>
      </c>
      <c r="F8" s="5">
        <f>VLOOKUP(Table1[[#This Row],[Aktivitas]],ref_activity!$A$2:$B$31,2,FALSE)</f>
        <v>4745</v>
      </c>
      <c r="G8" s="1">
        <v>1</v>
      </c>
      <c r="H8" s="5" t="str">
        <f>VLOOKUP(Table1[[#This Row],[Aktivitas]],ref_activity!$A$2:$C$31,3,FALSE)</f>
        <v>Kegiatan</v>
      </c>
      <c r="I8" s="5"/>
      <c r="J8" s="9"/>
    </row>
    <row r="9" spans="1:10" ht="28.8" x14ac:dyDescent="0.3">
      <c r="A9" s="4" t="s">
        <v>80</v>
      </c>
      <c r="B9" s="4" t="s">
        <v>13</v>
      </c>
      <c r="C9" s="4" t="s">
        <v>134</v>
      </c>
      <c r="D9" s="5" t="s">
        <v>97</v>
      </c>
      <c r="E9" s="5" t="s">
        <v>136</v>
      </c>
      <c r="F9" s="5">
        <f>VLOOKUP(Table1[[#This Row],[Aktivitas]],ref_activity!$A$2:$B$31,2,FALSE)</f>
        <v>4745</v>
      </c>
      <c r="G9" s="1">
        <v>1</v>
      </c>
      <c r="H9" s="5" t="str">
        <f>VLOOKUP(Table1[[#This Row],[Aktivitas]],ref_activity!$A$2:$C$31,3,FALSE)</f>
        <v>Kegiatan</v>
      </c>
      <c r="I9" s="5"/>
      <c r="J9" s="9"/>
    </row>
    <row r="10" spans="1:10" ht="28.8" x14ac:dyDescent="0.3">
      <c r="A10" s="4" t="s">
        <v>80</v>
      </c>
      <c r="B10" s="4" t="s">
        <v>14</v>
      </c>
      <c r="C10" s="4" t="s">
        <v>126</v>
      </c>
      <c r="D10" s="5" t="s">
        <v>98</v>
      </c>
      <c r="E10" s="5" t="s">
        <v>136</v>
      </c>
      <c r="F10" s="5">
        <f>VLOOKUP(Table1[[#This Row],[Aktivitas]],ref_activity!$A$2:$B$31,2,FALSE)</f>
        <v>1108</v>
      </c>
      <c r="G10" s="1">
        <v>1</v>
      </c>
      <c r="H10" s="5" t="str">
        <f>VLOOKUP(Table1[[#This Row],[Aktivitas]],ref_activity!$A$2:$C$31,3,FALSE)</f>
        <v>Kegiatan</v>
      </c>
      <c r="I10" s="5"/>
      <c r="J10" s="9"/>
    </row>
    <row r="11" spans="1:10" x14ac:dyDescent="0.3">
      <c r="A11" s="4" t="s">
        <v>81</v>
      </c>
      <c r="B11" s="4" t="s">
        <v>127</v>
      </c>
      <c r="C11" s="4" t="s">
        <v>10</v>
      </c>
      <c r="D11" s="5" t="s">
        <v>101</v>
      </c>
      <c r="E11" s="5" t="s">
        <v>136</v>
      </c>
      <c r="F11" s="5">
        <f>VLOOKUP(Table1[[#This Row],[Aktivitas]],ref_activity!$A$2:$B$31,2,FALSE)</f>
        <v>5410</v>
      </c>
      <c r="G11" s="1">
        <v>1</v>
      </c>
      <c r="H11" s="5" t="str">
        <f>VLOOKUP(Table1[[#This Row],[Aktivitas]],ref_activity!$A$2:$C$31,3,FALSE)</f>
        <v>Kegiatan</v>
      </c>
      <c r="I11" s="5"/>
      <c r="J11" s="9"/>
    </row>
    <row r="12" spans="1:10" ht="28.8" x14ac:dyDescent="0.3">
      <c r="A12" s="4" t="s">
        <v>81</v>
      </c>
      <c r="B12" s="4" t="s">
        <v>13</v>
      </c>
      <c r="C12" s="4" t="s">
        <v>14</v>
      </c>
      <c r="D12" s="5" t="s">
        <v>97</v>
      </c>
      <c r="E12" s="5" t="s">
        <v>136</v>
      </c>
      <c r="F12" s="5">
        <f>VLOOKUP(Table1[[#This Row],[Aktivitas]],ref_activity!$A$2:$B$31,2,FALSE)</f>
        <v>4745</v>
      </c>
      <c r="G12" s="1">
        <v>1</v>
      </c>
      <c r="H12" s="5" t="str">
        <f>VLOOKUP(Table1[[#This Row],[Aktivitas]],ref_activity!$A$2:$C$31,3,FALSE)</f>
        <v>Kegiatan</v>
      </c>
      <c r="I12" s="5"/>
      <c r="J12" s="9"/>
    </row>
    <row r="13" spans="1:10" ht="28.8" x14ac:dyDescent="0.3">
      <c r="A13" s="4" t="s">
        <v>81</v>
      </c>
      <c r="B13" s="4" t="s">
        <v>15</v>
      </c>
      <c r="C13" s="4" t="s">
        <v>128</v>
      </c>
      <c r="D13" s="5" t="s">
        <v>98</v>
      </c>
      <c r="E13" s="5" t="s">
        <v>136</v>
      </c>
      <c r="F13" s="5">
        <f>VLOOKUP(Table1[[#This Row],[Aktivitas]],ref_activity!$A$2:$B$31,2,FALSE)</f>
        <v>1108</v>
      </c>
      <c r="G13" s="1">
        <v>1</v>
      </c>
      <c r="H13" s="5" t="str">
        <f>VLOOKUP(Table1[[#This Row],[Aktivitas]],ref_activity!$A$2:$C$31,3,FALSE)</f>
        <v>Kegiatan</v>
      </c>
      <c r="I13" s="5"/>
      <c r="J13" s="9"/>
    </row>
    <row r="14" spans="1:10" x14ac:dyDescent="0.3">
      <c r="A14" s="4" t="s">
        <v>82</v>
      </c>
      <c r="B14" s="4" t="s">
        <v>129</v>
      </c>
      <c r="C14" s="4" t="s">
        <v>10</v>
      </c>
      <c r="D14" s="5" t="s">
        <v>32</v>
      </c>
      <c r="E14" s="5" t="s">
        <v>136</v>
      </c>
      <c r="F14" s="5">
        <f>VLOOKUP(Table1[[#This Row],[Aktivitas]],ref_activity!$A$2:$B$31,2,FALSE)</f>
        <v>6866</v>
      </c>
      <c r="G14" s="1">
        <v>1</v>
      </c>
      <c r="H14" s="5" t="str">
        <f>VLOOKUP(Table1[[#This Row],[Aktivitas]],ref_activity!$A$2:$C$31,3,FALSE)</f>
        <v>Kegiatan</v>
      </c>
      <c r="I14" s="5"/>
      <c r="J14" s="9"/>
    </row>
    <row r="15" spans="1:10" x14ac:dyDescent="0.3">
      <c r="A15" s="4" t="s">
        <v>82</v>
      </c>
      <c r="B15" s="4" t="s">
        <v>20</v>
      </c>
      <c r="C15" s="4" t="s">
        <v>134</v>
      </c>
      <c r="D15" s="5" t="s">
        <v>32</v>
      </c>
      <c r="E15" s="5" t="s">
        <v>136</v>
      </c>
      <c r="F15" s="5">
        <f>VLOOKUP(Table1[[#This Row],[Aktivitas]],ref_activity!$A$2:$B$31,2,FALSE)</f>
        <v>6866</v>
      </c>
      <c r="G15" s="1">
        <v>1</v>
      </c>
      <c r="H15" s="5" t="str">
        <f>VLOOKUP(Table1[[#This Row],[Aktivitas]],ref_activity!$A$2:$C$31,3,FALSE)</f>
        <v>Kegiatan</v>
      </c>
      <c r="I15" s="5"/>
      <c r="J15" s="9"/>
    </row>
    <row r="16" spans="1:10" ht="28.8" x14ac:dyDescent="0.3">
      <c r="A16" s="4" t="s">
        <v>82</v>
      </c>
      <c r="B16" s="4" t="s">
        <v>14</v>
      </c>
      <c r="C16" s="4" t="s">
        <v>130</v>
      </c>
      <c r="D16" s="5" t="s">
        <v>97</v>
      </c>
      <c r="E16" s="5" t="s">
        <v>136</v>
      </c>
      <c r="F16" s="5">
        <f>VLOOKUP(Table1[[#This Row],[Aktivitas]],ref_activity!$A$2:$B$31,2,FALSE)</f>
        <v>4745</v>
      </c>
      <c r="G16" s="1">
        <v>1</v>
      </c>
      <c r="H16" s="5" t="str">
        <f>VLOOKUP(Table1[[#This Row],[Aktivitas]],ref_activity!$A$2:$C$31,3,FALSE)</f>
        <v>Kegiatan</v>
      </c>
      <c r="I16" s="5"/>
      <c r="J16" s="9"/>
    </row>
    <row r="17" spans="1:10" ht="28.8" x14ac:dyDescent="0.3">
      <c r="A17" s="4" t="s">
        <v>83</v>
      </c>
      <c r="B17" s="4" t="s">
        <v>131</v>
      </c>
      <c r="C17" s="4" t="s">
        <v>10</v>
      </c>
      <c r="D17" s="5" t="s">
        <v>98</v>
      </c>
      <c r="E17" s="5" t="s">
        <v>136</v>
      </c>
      <c r="F17" s="5">
        <f>VLOOKUP(Table1[[#This Row],[Aktivitas]],ref_activity!$A$2:$B$31,2,FALSE)</f>
        <v>1108</v>
      </c>
      <c r="G17" s="1">
        <v>1</v>
      </c>
      <c r="H17" s="5" t="str">
        <f>VLOOKUP(Table1[[#This Row],[Aktivitas]],ref_activity!$A$2:$C$31,3,FALSE)</f>
        <v>Kegiatan</v>
      </c>
      <c r="I17" s="5"/>
      <c r="J17" s="9"/>
    </row>
    <row r="18" spans="1:10" ht="28.8" x14ac:dyDescent="0.3">
      <c r="A18" s="4" t="s">
        <v>83</v>
      </c>
      <c r="B18" s="4" t="s">
        <v>20</v>
      </c>
      <c r="C18" s="4" t="s">
        <v>134</v>
      </c>
      <c r="D18" s="5" t="s">
        <v>97</v>
      </c>
      <c r="E18" s="5" t="s">
        <v>136</v>
      </c>
      <c r="F18" s="5">
        <f>VLOOKUP(Table1[[#This Row],[Aktivitas]],ref_activity!$A$2:$B$31,2,FALSE)</f>
        <v>4745</v>
      </c>
      <c r="G18" s="1">
        <v>1</v>
      </c>
      <c r="H18" s="5" t="str">
        <f>VLOOKUP(Table1[[#This Row],[Aktivitas]],ref_activity!$A$2:$C$31,3,FALSE)</f>
        <v>Kegiatan</v>
      </c>
      <c r="I18" s="5"/>
      <c r="J18" s="9"/>
    </row>
    <row r="19" spans="1:10" ht="28.8" x14ac:dyDescent="0.3">
      <c r="A19" s="4" t="s">
        <v>83</v>
      </c>
      <c r="B19" s="4" t="s">
        <v>14</v>
      </c>
      <c r="C19" s="4" t="s">
        <v>123</v>
      </c>
      <c r="D19" s="5" t="s">
        <v>98</v>
      </c>
      <c r="E19" s="5" t="s">
        <v>136</v>
      </c>
      <c r="F19" s="5">
        <f>VLOOKUP(Table1[[#This Row],[Aktivitas]],ref_activity!$A$2:$B$31,2,FALSE)</f>
        <v>1108</v>
      </c>
      <c r="G19" s="1">
        <v>1</v>
      </c>
      <c r="H19" s="5" t="str">
        <f>VLOOKUP(Table1[[#This Row],[Aktivitas]],ref_activity!$A$2:$C$31,3,FALSE)</f>
        <v>Kegiatan</v>
      </c>
      <c r="I19" s="5"/>
      <c r="J19" s="9"/>
    </row>
    <row r="20" spans="1:10" x14ac:dyDescent="0.3">
      <c r="A20" s="4"/>
      <c r="B20" s="4"/>
      <c r="C20" s="4"/>
      <c r="D20" s="5"/>
      <c r="H20" s="5"/>
      <c r="I20" s="5"/>
      <c r="J20" s="9"/>
    </row>
    <row r="21" spans="1:10" x14ac:dyDescent="0.3">
      <c r="A21" s="4"/>
      <c r="B21" s="4"/>
      <c r="C21" s="4"/>
      <c r="D21" s="5"/>
      <c r="H21" s="5"/>
      <c r="I21" s="5"/>
      <c r="J21" s="9"/>
    </row>
    <row r="22" spans="1:10" x14ac:dyDescent="0.3">
      <c r="A22" s="4"/>
      <c r="B22" s="4"/>
      <c r="C22" s="4"/>
      <c r="D22" s="5"/>
      <c r="H22" s="5"/>
      <c r="I22" s="5"/>
      <c r="J22" s="9"/>
    </row>
    <row r="23" spans="1:10" x14ac:dyDescent="0.3">
      <c r="A23" s="4"/>
      <c r="B23" s="4"/>
      <c r="C23" s="4"/>
      <c r="D23" s="5"/>
      <c r="H23" s="5"/>
      <c r="I23" s="5"/>
      <c r="J23" s="9"/>
    </row>
    <row r="24" spans="1:10" x14ac:dyDescent="0.3">
      <c r="A24" s="4"/>
      <c r="B24" s="4"/>
      <c r="C24" s="4"/>
      <c r="D24" s="5"/>
      <c r="H24" s="5"/>
      <c r="I24" s="5"/>
      <c r="J24" s="9"/>
    </row>
  </sheetData>
  <phoneticPr fontId="2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072A4E-26EC-4355-8893-2441CCF61A99}">
          <x14:formula1>
            <xm:f>ref_activity!$A$2:$A$31</xm:f>
          </x14:formula1>
          <xm:sqref>D2:D24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D1DC-483D-444F-80D4-8DE5D79B7A1F}">
  <dimension ref="A1:L31"/>
  <sheetViews>
    <sheetView tabSelected="1" zoomScale="85" zoomScaleNormal="85" workbookViewId="0">
      <selection activeCell="A8" sqref="A8"/>
    </sheetView>
  </sheetViews>
  <sheetFormatPr defaultRowHeight="14.4" x14ac:dyDescent="0.3"/>
  <cols>
    <col min="1" max="1" width="84.33203125" bestFit="1" customWidth="1"/>
    <col min="2" max="2" width="6.6640625" customWidth="1"/>
    <col min="3" max="3" width="20.88671875" bestFit="1" customWidth="1"/>
    <col min="9" max="9" width="73.109375" customWidth="1"/>
    <col min="11" max="11" width="21.44140625" bestFit="1" customWidth="1"/>
    <col min="12" max="12" width="22.44140625" bestFit="1" customWidth="1"/>
  </cols>
  <sheetData>
    <row r="1" spans="1:12" x14ac:dyDescent="0.3">
      <c r="A1" t="s">
        <v>27</v>
      </c>
      <c r="B1" t="s">
        <v>28</v>
      </c>
      <c r="C1" t="s">
        <v>29</v>
      </c>
    </row>
    <row r="2" spans="1:12" x14ac:dyDescent="0.3">
      <c r="A2" t="s">
        <v>22</v>
      </c>
      <c r="B2">
        <v>4802</v>
      </c>
      <c r="C2" t="s">
        <v>12</v>
      </c>
      <c r="L2" s="7"/>
    </row>
    <row r="3" spans="1:12" x14ac:dyDescent="0.3">
      <c r="A3" t="s">
        <v>23</v>
      </c>
      <c r="B3">
        <v>6621</v>
      </c>
      <c r="C3" t="s">
        <v>12</v>
      </c>
      <c r="L3" s="7"/>
    </row>
    <row r="4" spans="1:12" x14ac:dyDescent="0.3">
      <c r="A4" t="s">
        <v>21</v>
      </c>
      <c r="B4">
        <v>7924</v>
      </c>
      <c r="C4" t="s">
        <v>12</v>
      </c>
      <c r="L4" s="7"/>
    </row>
    <row r="5" spans="1:12" x14ac:dyDescent="0.3">
      <c r="A5" t="s">
        <v>11</v>
      </c>
      <c r="B5">
        <v>6540</v>
      </c>
      <c r="C5" t="s">
        <v>9</v>
      </c>
      <c r="L5" s="7"/>
    </row>
    <row r="6" spans="1:12" x14ac:dyDescent="0.3">
      <c r="A6" t="s">
        <v>24</v>
      </c>
      <c r="B6">
        <v>3080</v>
      </c>
      <c r="C6" t="s">
        <v>12</v>
      </c>
      <c r="L6" s="7"/>
    </row>
    <row r="7" spans="1:12" x14ac:dyDescent="0.3">
      <c r="A7" t="s">
        <v>25</v>
      </c>
      <c r="B7">
        <v>8117</v>
      </c>
      <c r="C7" t="s">
        <v>12</v>
      </c>
    </row>
    <row r="8" spans="1:12" x14ac:dyDescent="0.3">
      <c r="A8" t="s">
        <v>26</v>
      </c>
      <c r="B8">
        <v>5729</v>
      </c>
      <c r="C8" t="s">
        <v>12</v>
      </c>
    </row>
    <row r="9" spans="1:12" x14ac:dyDescent="0.3">
      <c r="A9" t="s">
        <v>32</v>
      </c>
      <c r="B9">
        <v>6866</v>
      </c>
      <c r="C9" t="s">
        <v>12</v>
      </c>
    </row>
    <row r="10" spans="1:12" x14ac:dyDescent="0.3">
      <c r="A10" t="s">
        <v>85</v>
      </c>
      <c r="B10">
        <v>5609</v>
      </c>
      <c r="C10" t="s">
        <v>12</v>
      </c>
      <c r="I10" s="10"/>
      <c r="J10" s="10"/>
      <c r="K10" s="10"/>
      <c r="L10" s="11"/>
    </row>
    <row r="11" spans="1:12" x14ac:dyDescent="0.3">
      <c r="A11" t="s">
        <v>86</v>
      </c>
      <c r="B11">
        <v>7542</v>
      </c>
      <c r="C11" t="s">
        <v>12</v>
      </c>
      <c r="I11" s="10"/>
      <c r="J11" s="10"/>
      <c r="K11" s="10"/>
      <c r="L11" s="11"/>
    </row>
    <row r="12" spans="1:12" x14ac:dyDescent="0.3">
      <c r="A12" t="s">
        <v>87</v>
      </c>
      <c r="B12">
        <v>4768</v>
      </c>
      <c r="C12" t="s">
        <v>12</v>
      </c>
    </row>
    <row r="13" spans="1:12" x14ac:dyDescent="0.3">
      <c r="A13" t="s">
        <v>88</v>
      </c>
      <c r="B13">
        <v>6920</v>
      </c>
      <c r="C13" t="s">
        <v>12</v>
      </c>
    </row>
    <row r="14" spans="1:12" x14ac:dyDescent="0.3">
      <c r="A14" t="s">
        <v>89</v>
      </c>
      <c r="B14">
        <v>2820</v>
      </c>
      <c r="C14" t="s">
        <v>12</v>
      </c>
    </row>
    <row r="15" spans="1:12" x14ac:dyDescent="0.3">
      <c r="A15" t="s">
        <v>90</v>
      </c>
      <c r="B15">
        <v>3053</v>
      </c>
      <c r="C15" t="s">
        <v>12</v>
      </c>
    </row>
    <row r="16" spans="1:12" x14ac:dyDescent="0.3">
      <c r="A16" t="s">
        <v>91</v>
      </c>
      <c r="B16">
        <v>5607</v>
      </c>
      <c r="C16" t="s">
        <v>12</v>
      </c>
    </row>
    <row r="17" spans="1:3" x14ac:dyDescent="0.3">
      <c r="A17" t="s">
        <v>92</v>
      </c>
      <c r="B17">
        <v>4429</v>
      </c>
      <c r="C17" t="s">
        <v>12</v>
      </c>
    </row>
    <row r="18" spans="1:3" x14ac:dyDescent="0.3">
      <c r="A18" t="s">
        <v>93</v>
      </c>
      <c r="B18">
        <v>1821</v>
      </c>
      <c r="C18" t="s">
        <v>12</v>
      </c>
    </row>
    <row r="19" spans="1:3" x14ac:dyDescent="0.3">
      <c r="A19" t="s">
        <v>94</v>
      </c>
      <c r="B19">
        <v>5078</v>
      </c>
      <c r="C19" t="s">
        <v>12</v>
      </c>
    </row>
    <row r="20" spans="1:3" x14ac:dyDescent="0.3">
      <c r="A20" t="s">
        <v>95</v>
      </c>
      <c r="B20">
        <v>6948</v>
      </c>
      <c r="C20" t="s">
        <v>12</v>
      </c>
    </row>
    <row r="21" spans="1:3" x14ac:dyDescent="0.3">
      <c r="A21" t="s">
        <v>96</v>
      </c>
      <c r="B21">
        <v>6758</v>
      </c>
      <c r="C21" t="s">
        <v>12</v>
      </c>
    </row>
    <row r="22" spans="1:3" x14ac:dyDescent="0.3">
      <c r="A22" t="s">
        <v>97</v>
      </c>
      <c r="B22">
        <v>4745</v>
      </c>
      <c r="C22" t="s">
        <v>12</v>
      </c>
    </row>
    <row r="23" spans="1:3" x14ac:dyDescent="0.3">
      <c r="A23" t="s">
        <v>98</v>
      </c>
      <c r="B23">
        <v>1108</v>
      </c>
      <c r="C23" t="s">
        <v>12</v>
      </c>
    </row>
    <row r="24" spans="1:3" x14ac:dyDescent="0.3">
      <c r="A24" t="s">
        <v>99</v>
      </c>
      <c r="B24">
        <v>3521</v>
      </c>
      <c r="C24" t="s">
        <v>12</v>
      </c>
    </row>
    <row r="25" spans="1:3" x14ac:dyDescent="0.3">
      <c r="A25" t="s">
        <v>100</v>
      </c>
      <c r="B25">
        <v>5411</v>
      </c>
      <c r="C25" t="s">
        <v>12</v>
      </c>
    </row>
    <row r="26" spans="1:3" x14ac:dyDescent="0.3">
      <c r="A26" t="s">
        <v>101</v>
      </c>
      <c r="B26">
        <v>5410</v>
      </c>
      <c r="C26" t="s">
        <v>12</v>
      </c>
    </row>
    <row r="27" spans="1:3" x14ac:dyDescent="0.3">
      <c r="A27" t="s">
        <v>102</v>
      </c>
      <c r="B27">
        <v>6725</v>
      </c>
      <c r="C27" t="s">
        <v>30</v>
      </c>
    </row>
    <row r="28" spans="1:3" x14ac:dyDescent="0.3">
      <c r="A28" t="s">
        <v>103</v>
      </c>
      <c r="B28">
        <v>2794</v>
      </c>
      <c r="C28" t="s">
        <v>104</v>
      </c>
    </row>
    <row r="29" spans="1:3" x14ac:dyDescent="0.3">
      <c r="A29" t="s">
        <v>105</v>
      </c>
      <c r="B29">
        <v>4391</v>
      </c>
      <c r="C29" t="s">
        <v>106</v>
      </c>
    </row>
    <row r="30" spans="1:3" x14ac:dyDescent="0.3">
      <c r="A30" t="s">
        <v>107</v>
      </c>
      <c r="B30">
        <v>7569</v>
      </c>
      <c r="C30" t="s">
        <v>106</v>
      </c>
    </row>
    <row r="31" spans="1:3" x14ac:dyDescent="0.3">
      <c r="A31" t="s">
        <v>108</v>
      </c>
      <c r="B31">
        <v>7933</v>
      </c>
      <c r="C31" t="s">
        <v>106</v>
      </c>
    </row>
  </sheetData>
  <conditionalFormatting sqref="B1:B1048576">
    <cfRule type="duplicateValues" dxfId="0" priority="1"/>
  </conditionalFormatting>
  <pageMargins left="0.7" right="0.7" top="0.75" bottom="0.75" header="0.3" footer="0.3"/>
  <pageSetup paperSize="1000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8B04A-DFEF-46BB-92FA-CECB83088F66}">
  <dimension ref="A1:BF139"/>
  <sheetViews>
    <sheetView zoomScale="115" zoomScaleNormal="115" workbookViewId="0">
      <selection activeCell="L10" sqref="L10"/>
    </sheetView>
  </sheetViews>
  <sheetFormatPr defaultRowHeight="14.4" x14ac:dyDescent="0.3"/>
  <cols>
    <col min="1" max="1" width="18.33203125" bestFit="1" customWidth="1"/>
    <col min="3" max="3" width="10.6640625" bestFit="1" customWidth="1"/>
    <col min="7" max="7" width="10.88671875" bestFit="1" customWidth="1"/>
    <col min="12" max="12" width="17.88671875" bestFit="1" customWidth="1"/>
  </cols>
  <sheetData>
    <row r="1" spans="1:58" x14ac:dyDescent="0.3"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</row>
    <row r="2" spans="1:58" x14ac:dyDescent="0.3">
      <c r="A2" t="s">
        <v>109</v>
      </c>
      <c r="B2" t="s">
        <v>110</v>
      </c>
      <c r="C2" t="s">
        <v>111</v>
      </c>
      <c r="F2" t="s">
        <v>33</v>
      </c>
      <c r="G2" s="6" t="str">
        <f t="shared" ref="G2:G17" si="0">TEXT((RIGHT(A2,10)),"dd/mm/yyyy")</f>
        <v>13/04/2026</v>
      </c>
      <c r="H2" s="8" t="str">
        <f t="shared" ref="H2:H17" si="1">LEFT(B2,2)&amp;":"&amp;TEXT(MID(B2,4,2)+1,"00")</f>
        <v>07:24</v>
      </c>
      <c r="I2" s="6" t="str">
        <f t="shared" ref="I2:I17" si="2">LEFT(C2,5)</f>
        <v>16:51</v>
      </c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</row>
    <row r="3" spans="1:58" x14ac:dyDescent="0.3">
      <c r="A3" t="s">
        <v>112</v>
      </c>
      <c r="B3" t="s">
        <v>113</v>
      </c>
      <c r="C3" t="s">
        <v>114</v>
      </c>
      <c r="F3" t="s">
        <v>33</v>
      </c>
      <c r="G3" s="6" t="str">
        <f t="shared" si="0"/>
        <v>14/04/2026</v>
      </c>
      <c r="H3" s="8" t="str">
        <f t="shared" si="1"/>
        <v>07:30</v>
      </c>
      <c r="I3" s="6" t="str">
        <f t="shared" si="2"/>
        <v>16:47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</row>
    <row r="4" spans="1:58" x14ac:dyDescent="0.3">
      <c r="A4" t="s">
        <v>115</v>
      </c>
      <c r="B4" t="s">
        <v>116</v>
      </c>
      <c r="C4" t="s">
        <v>117</v>
      </c>
      <c r="F4" t="s">
        <v>33</v>
      </c>
      <c r="G4" s="6" t="str">
        <f t="shared" si="0"/>
        <v>15/04/2026</v>
      </c>
      <c r="H4" s="8" t="str">
        <f t="shared" si="1"/>
        <v>07:23</v>
      </c>
      <c r="I4" s="6" t="str">
        <f t="shared" si="2"/>
        <v>18:32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</row>
    <row r="5" spans="1:58" x14ac:dyDescent="0.3">
      <c r="A5" t="s">
        <v>118</v>
      </c>
      <c r="B5" t="s">
        <v>119</v>
      </c>
      <c r="C5" t="s">
        <v>120</v>
      </c>
      <c r="F5" t="s">
        <v>33</v>
      </c>
      <c r="G5" s="6" t="str">
        <f t="shared" si="0"/>
        <v>16/04/2026</v>
      </c>
      <c r="H5" s="8" t="str">
        <f t="shared" si="1"/>
        <v>07:21</v>
      </c>
      <c r="I5" s="6" t="str">
        <f t="shared" si="2"/>
        <v>16:48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</row>
    <row r="6" spans="1:58" x14ac:dyDescent="0.3">
      <c r="A6" t="s">
        <v>121</v>
      </c>
      <c r="B6" t="s">
        <v>122</v>
      </c>
      <c r="C6" s="7" t="s">
        <v>123</v>
      </c>
      <c r="F6" t="s">
        <v>33</v>
      </c>
      <c r="G6" s="6" t="str">
        <f t="shared" si="0"/>
        <v>17/04/2026</v>
      </c>
      <c r="H6" s="8" t="str">
        <f t="shared" si="1"/>
        <v>07:14</v>
      </c>
      <c r="I6" s="6" t="str">
        <f t="shared" si="2"/>
        <v>16:30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 spans="1:58" x14ac:dyDescent="0.3">
      <c r="A7" s="7" t="s">
        <v>41</v>
      </c>
      <c r="B7" s="7" t="s">
        <v>62</v>
      </c>
      <c r="C7" s="7" t="s">
        <v>63</v>
      </c>
      <c r="F7" t="s">
        <v>33</v>
      </c>
      <c r="G7" s="6" t="str">
        <f t="shared" si="0"/>
        <v>08/12/2025</v>
      </c>
      <c r="H7" s="8" t="str">
        <f t="shared" si="1"/>
        <v>07:56</v>
      </c>
      <c r="I7" s="6" t="str">
        <f t="shared" si="2"/>
        <v>16:44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</row>
    <row r="8" spans="1:58" x14ac:dyDescent="0.3">
      <c r="A8" s="7" t="s">
        <v>42</v>
      </c>
      <c r="B8" s="7" t="s">
        <v>35</v>
      </c>
      <c r="C8" s="7" t="s">
        <v>64</v>
      </c>
      <c r="F8" t="s">
        <v>33</v>
      </c>
      <c r="G8" s="6" t="str">
        <f t="shared" si="0"/>
        <v>09/12/2025</v>
      </c>
      <c r="H8" s="8" t="str">
        <f t="shared" si="1"/>
        <v>08:09</v>
      </c>
      <c r="I8" s="6" t="str">
        <f t="shared" si="2"/>
        <v>17:45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</row>
    <row r="9" spans="1:58" x14ac:dyDescent="0.3">
      <c r="A9" s="7" t="s">
        <v>43</v>
      </c>
      <c r="B9" s="7" t="s">
        <v>44</v>
      </c>
      <c r="C9" s="7" t="s">
        <v>65</v>
      </c>
      <c r="F9" t="s">
        <v>33</v>
      </c>
      <c r="G9" s="6" t="str">
        <f t="shared" si="0"/>
        <v>10/12/2025</v>
      </c>
      <c r="H9" s="8" t="str">
        <f t="shared" si="1"/>
        <v>06:59</v>
      </c>
      <c r="I9" s="6" t="str">
        <f t="shared" si="2"/>
        <v>18:58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</row>
    <row r="10" spans="1:58" x14ac:dyDescent="0.3">
      <c r="A10" s="7" t="s">
        <v>45</v>
      </c>
      <c r="B10" s="7" t="s">
        <v>66</v>
      </c>
      <c r="C10" s="7" t="s">
        <v>31</v>
      </c>
      <c r="F10" t="s">
        <v>33</v>
      </c>
      <c r="G10" s="6" t="str">
        <f t="shared" si="0"/>
        <v>11/12/2025</v>
      </c>
      <c r="H10" s="8" t="str">
        <f t="shared" si="1"/>
        <v>06:56</v>
      </c>
      <c r="I10" s="6" t="str">
        <f t="shared" si="2"/>
        <v>17:00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</row>
    <row r="11" spans="1:58" x14ac:dyDescent="0.3">
      <c r="A11" s="7" t="s">
        <v>46</v>
      </c>
      <c r="B11" s="7" t="s">
        <v>39</v>
      </c>
      <c r="C11" s="7" t="s">
        <v>38</v>
      </c>
      <c r="G11" s="6" t="str">
        <f t="shared" si="0"/>
        <v>12/12/2025</v>
      </c>
      <c r="H11" s="8" t="str">
        <f t="shared" si="1"/>
        <v>07:29</v>
      </c>
      <c r="I11" s="6" t="str">
        <f t="shared" si="2"/>
        <v>16:35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</row>
    <row r="12" spans="1:58" x14ac:dyDescent="0.3">
      <c r="A12" s="7" t="s">
        <v>47</v>
      </c>
      <c r="B12" s="7" t="s">
        <v>61</v>
      </c>
      <c r="C12" s="7" t="s">
        <v>67</v>
      </c>
      <c r="G12" s="6" t="str">
        <f t="shared" si="0"/>
        <v>15/12/2025</v>
      </c>
      <c r="H12" s="8" t="str">
        <f t="shared" si="1"/>
        <v>08:46</v>
      </c>
      <c r="I12" s="6" t="str">
        <f t="shared" si="2"/>
        <v>16:33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</row>
    <row r="13" spans="1:58" x14ac:dyDescent="0.3">
      <c r="A13" s="7" t="s">
        <v>48</v>
      </c>
      <c r="B13" s="7" t="s">
        <v>68</v>
      </c>
      <c r="C13" s="7" t="s">
        <v>69</v>
      </c>
      <c r="G13" s="6" t="str">
        <f t="shared" si="0"/>
        <v>16/12/2025</v>
      </c>
      <c r="H13" s="8" t="str">
        <f t="shared" si="1"/>
        <v>07:51</v>
      </c>
      <c r="I13" s="6" t="str">
        <f t="shared" si="2"/>
        <v>18:18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</row>
    <row r="14" spans="1:58" x14ac:dyDescent="0.3">
      <c r="A14" s="7" t="s">
        <v>49</v>
      </c>
      <c r="B14" s="7" t="s">
        <v>70</v>
      </c>
      <c r="C14" s="7" t="s">
        <v>34</v>
      </c>
      <c r="G14" s="6" t="str">
        <f t="shared" si="0"/>
        <v>17/12/2025</v>
      </c>
      <c r="H14" s="8" t="str">
        <f t="shared" si="1"/>
        <v>09:58</v>
      </c>
      <c r="I14" s="6" t="str">
        <f t="shared" si="2"/>
        <v>16:12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</row>
    <row r="15" spans="1:58" x14ac:dyDescent="0.3">
      <c r="A15" s="7" t="s">
        <v>50</v>
      </c>
      <c r="B15" s="7" t="s">
        <v>58</v>
      </c>
      <c r="C15" s="7" t="s">
        <v>40</v>
      </c>
      <c r="G15" s="6" t="str">
        <f t="shared" si="0"/>
        <v>18/12/2025</v>
      </c>
      <c r="H15" s="8" t="str">
        <f t="shared" si="1"/>
        <v>07:16</v>
      </c>
      <c r="I15" s="6" t="str">
        <f t="shared" si="2"/>
        <v>17:32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</row>
    <row r="16" spans="1:58" x14ac:dyDescent="0.3">
      <c r="A16" s="7" t="s">
        <v>51</v>
      </c>
      <c r="B16" s="7" t="s">
        <v>37</v>
      </c>
      <c r="C16" s="7" t="s">
        <v>71</v>
      </c>
      <c r="G16" s="6" t="str">
        <f t="shared" si="0"/>
        <v>19/12/2025</v>
      </c>
      <c r="H16" s="8" t="str">
        <f t="shared" si="1"/>
        <v>08:21</v>
      </c>
      <c r="I16" s="6" t="str">
        <f t="shared" si="2"/>
        <v>17:15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</row>
    <row r="17" spans="1:58" x14ac:dyDescent="0.3">
      <c r="A17" s="7" t="s">
        <v>52</v>
      </c>
      <c r="B17" s="7" t="s">
        <v>59</v>
      </c>
      <c r="C17" s="7" t="s">
        <v>72</v>
      </c>
      <c r="G17" s="6" t="str">
        <f t="shared" si="0"/>
        <v>22/12/2025</v>
      </c>
      <c r="H17" s="8" t="str">
        <f t="shared" si="1"/>
        <v>07:60</v>
      </c>
      <c r="I17" s="6" t="str">
        <f t="shared" si="2"/>
        <v>18:45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 spans="1:58" x14ac:dyDescent="0.3">
      <c r="A18" s="7" t="s">
        <v>53</v>
      </c>
      <c r="B18" s="7" t="s">
        <v>73</v>
      </c>
      <c r="C18" s="7" t="s">
        <v>60</v>
      </c>
      <c r="G18" s="6" t="str">
        <f t="shared" ref="G18:G20" si="3">TEXT((RIGHT(A18,10)),"dd/mm/yyyy")</f>
        <v>23/12/2025</v>
      </c>
      <c r="H18" s="8" t="str">
        <f t="shared" ref="H18:H20" si="4">LEFT(B18,2)&amp;":"&amp;TEXT(MID(B18,4,2)+1,"00")</f>
        <v>08:41</v>
      </c>
      <c r="I18" s="6" t="str">
        <f t="shared" ref="I18:I20" si="5">LEFT(C18,5)</f>
        <v>19:16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</row>
    <row r="19" spans="1:58" x14ac:dyDescent="0.3">
      <c r="A19" s="7" t="s">
        <v>54</v>
      </c>
      <c r="B19" s="7" t="s">
        <v>36</v>
      </c>
      <c r="C19" s="7" t="s">
        <v>74</v>
      </c>
      <c r="G19" s="6" t="str">
        <f t="shared" si="3"/>
        <v>24/12/2025</v>
      </c>
      <c r="H19" s="8" t="str">
        <f t="shared" si="4"/>
        <v>08:01</v>
      </c>
      <c r="I19" s="6" t="str">
        <f t="shared" si="5"/>
        <v>17:40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</row>
    <row r="20" spans="1:58" x14ac:dyDescent="0.3">
      <c r="A20" s="7" t="s">
        <v>55</v>
      </c>
      <c r="B20" s="7" t="s">
        <v>75</v>
      </c>
      <c r="C20" s="7" t="s">
        <v>76</v>
      </c>
      <c r="G20" s="6" t="str">
        <f t="shared" si="3"/>
        <v>29/12/2025</v>
      </c>
      <c r="H20" s="8" t="str">
        <f t="shared" si="4"/>
        <v>08:15</v>
      </c>
      <c r="I20" s="6" t="str">
        <f t="shared" si="5"/>
        <v>18:51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</row>
    <row r="21" spans="1:58" x14ac:dyDescent="0.3">
      <c r="A21" s="7" t="s">
        <v>56</v>
      </c>
      <c r="B21" s="7" t="s">
        <v>77</v>
      </c>
      <c r="C21" s="7" t="s">
        <v>78</v>
      </c>
      <c r="G21" s="6" t="str">
        <f t="shared" ref="G21:G22" si="6">TEXT((RIGHT(A21,10)),"dd/mm/yyyy")</f>
        <v>30/12/2025</v>
      </c>
      <c r="H21" s="8" t="str">
        <f t="shared" ref="H21:H22" si="7">LEFT(B21,2)&amp;":"&amp;TEXT(MID(B21,4,2)+1,"00")</f>
        <v>08:10</v>
      </c>
      <c r="I21" s="6" t="str">
        <f t="shared" ref="I21:I22" si="8">LEFT(C21,5)</f>
        <v>16:54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</row>
    <row r="22" spans="1:58" x14ac:dyDescent="0.3">
      <c r="A22" t="s">
        <v>57</v>
      </c>
      <c r="B22" t="s">
        <v>58</v>
      </c>
      <c r="C22" t="s">
        <v>40</v>
      </c>
      <c r="G22" s="6" t="str">
        <f t="shared" si="6"/>
        <v>31/12/2025</v>
      </c>
      <c r="H22" s="8" t="str">
        <f t="shared" si="7"/>
        <v>07:16</v>
      </c>
      <c r="I22" s="6" t="str">
        <f t="shared" si="8"/>
        <v>17:32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</row>
    <row r="23" spans="1:58" x14ac:dyDescent="0.3"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</row>
    <row r="24" spans="1:58" x14ac:dyDescent="0.3">
      <c r="A24" t="s">
        <v>109</v>
      </c>
      <c r="B24" t="s">
        <v>110</v>
      </c>
      <c r="C24" t="s">
        <v>111</v>
      </c>
      <c r="H24" t="s">
        <v>33</v>
      </c>
      <c r="J24" s="7"/>
      <c r="K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</row>
    <row r="25" spans="1:58" x14ac:dyDescent="0.3">
      <c r="A25" t="s">
        <v>112</v>
      </c>
      <c r="B25" t="s">
        <v>113</v>
      </c>
      <c r="C25" t="s">
        <v>114</v>
      </c>
      <c r="H25" t="s">
        <v>33</v>
      </c>
      <c r="J25" s="7"/>
      <c r="K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</row>
    <row r="26" spans="1:58" x14ac:dyDescent="0.3">
      <c r="A26" t="s">
        <v>115</v>
      </c>
      <c r="B26" t="s">
        <v>116</v>
      </c>
      <c r="C26" t="s">
        <v>117</v>
      </c>
      <c r="H26" t="s">
        <v>33</v>
      </c>
      <c r="J26" s="7"/>
      <c r="K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</row>
    <row r="27" spans="1:58" x14ac:dyDescent="0.3">
      <c r="A27" t="s">
        <v>118</v>
      </c>
      <c r="B27" t="s">
        <v>119</v>
      </c>
      <c r="C27" t="s">
        <v>120</v>
      </c>
      <c r="H27" t="s">
        <v>33</v>
      </c>
      <c r="J27" s="7"/>
      <c r="K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</row>
    <row r="28" spans="1:58" x14ac:dyDescent="0.3">
      <c r="A28" t="s">
        <v>121</v>
      </c>
      <c r="B28" t="s">
        <v>122</v>
      </c>
      <c r="C28" s="7" t="s">
        <v>123</v>
      </c>
      <c r="J28" s="7"/>
      <c r="K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</row>
    <row r="29" spans="1:58" x14ac:dyDescent="0.3">
      <c r="J29" s="7"/>
      <c r="K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</row>
    <row r="30" spans="1:58" x14ac:dyDescent="0.3"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</row>
    <row r="31" spans="1:58" x14ac:dyDescent="0.3"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</row>
    <row r="32" spans="1:58" x14ac:dyDescent="0.3"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</row>
    <row r="33" spans="10:58" x14ac:dyDescent="0.3"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</row>
    <row r="34" spans="10:58" x14ac:dyDescent="0.3"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</row>
    <row r="35" spans="10:58" x14ac:dyDescent="0.3"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</row>
    <row r="36" spans="10:58" x14ac:dyDescent="0.3"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</row>
    <row r="37" spans="10:58" x14ac:dyDescent="0.3"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</row>
    <row r="38" spans="10:58" x14ac:dyDescent="0.3"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</row>
    <row r="39" spans="10:58" x14ac:dyDescent="0.3"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</row>
    <row r="40" spans="10:58" x14ac:dyDescent="0.3"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</row>
    <row r="41" spans="10:58" x14ac:dyDescent="0.3"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</row>
    <row r="42" spans="10:58" x14ac:dyDescent="0.3"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</row>
    <row r="43" spans="10:58" x14ac:dyDescent="0.3"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</row>
    <row r="44" spans="10:58" x14ac:dyDescent="0.3"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</row>
    <row r="45" spans="10:58" x14ac:dyDescent="0.3"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</row>
    <row r="46" spans="10:58" x14ac:dyDescent="0.3"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</row>
    <row r="47" spans="10:58" x14ac:dyDescent="0.3"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</row>
    <row r="48" spans="10:58" x14ac:dyDescent="0.3"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</row>
    <row r="49" spans="10:58" x14ac:dyDescent="0.3"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</row>
    <row r="50" spans="10:58" x14ac:dyDescent="0.3"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</row>
    <row r="51" spans="10:58" x14ac:dyDescent="0.3"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</row>
    <row r="52" spans="10:58" x14ac:dyDescent="0.3"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</row>
    <row r="53" spans="10:58" x14ac:dyDescent="0.3"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</row>
    <row r="54" spans="10:58" x14ac:dyDescent="0.3"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</row>
    <row r="55" spans="10:58" x14ac:dyDescent="0.3"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</row>
    <row r="56" spans="10:58" x14ac:dyDescent="0.3"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</row>
    <row r="57" spans="10:58" x14ac:dyDescent="0.3"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</row>
    <row r="58" spans="10:58" x14ac:dyDescent="0.3"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</row>
    <row r="59" spans="10:58" x14ac:dyDescent="0.3"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</row>
    <row r="60" spans="10:58" x14ac:dyDescent="0.3"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</row>
    <row r="61" spans="10:58" x14ac:dyDescent="0.3"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</row>
    <row r="62" spans="10:58" x14ac:dyDescent="0.3"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</row>
    <row r="63" spans="10:58" x14ac:dyDescent="0.3"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</row>
    <row r="64" spans="10:58" x14ac:dyDescent="0.3"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</row>
    <row r="65" spans="10:58" x14ac:dyDescent="0.3"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</row>
    <row r="66" spans="10:58" x14ac:dyDescent="0.3"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</row>
    <row r="67" spans="10:58" x14ac:dyDescent="0.3"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</row>
    <row r="68" spans="10:58" x14ac:dyDescent="0.3"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</row>
    <row r="69" spans="10:58" x14ac:dyDescent="0.3"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</row>
    <row r="70" spans="10:58" x14ac:dyDescent="0.3"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</row>
    <row r="71" spans="10:58" x14ac:dyDescent="0.3"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</row>
    <row r="72" spans="10:58" x14ac:dyDescent="0.3"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</row>
    <row r="73" spans="10:58" x14ac:dyDescent="0.3"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</row>
    <row r="74" spans="10:58" x14ac:dyDescent="0.3"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</row>
    <row r="75" spans="10:58" x14ac:dyDescent="0.3"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</row>
    <row r="76" spans="10:58" x14ac:dyDescent="0.3"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</row>
    <row r="77" spans="10:58" x14ac:dyDescent="0.3"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</row>
    <row r="78" spans="10:58" x14ac:dyDescent="0.3"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</row>
    <row r="79" spans="10:58" x14ac:dyDescent="0.3"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</row>
    <row r="80" spans="10:58" x14ac:dyDescent="0.3"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</row>
    <row r="81" spans="10:58" x14ac:dyDescent="0.3"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</row>
    <row r="82" spans="10:58" x14ac:dyDescent="0.3"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</row>
    <row r="83" spans="10:58" x14ac:dyDescent="0.3"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</row>
    <row r="84" spans="10:58" x14ac:dyDescent="0.3"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</row>
    <row r="85" spans="10:58" x14ac:dyDescent="0.3"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</row>
    <row r="86" spans="10:58" x14ac:dyDescent="0.3"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</row>
    <row r="87" spans="10:58" x14ac:dyDescent="0.3"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</row>
    <row r="88" spans="10:58" x14ac:dyDescent="0.3"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</row>
    <row r="89" spans="10:58" x14ac:dyDescent="0.3"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</row>
    <row r="90" spans="10:58" x14ac:dyDescent="0.3"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</row>
    <row r="91" spans="10:58" x14ac:dyDescent="0.3"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</row>
    <row r="92" spans="10:58" x14ac:dyDescent="0.3"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</row>
    <row r="93" spans="10:58" x14ac:dyDescent="0.3"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</row>
    <row r="94" spans="10:58" x14ac:dyDescent="0.3"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</row>
    <row r="95" spans="10:58" x14ac:dyDescent="0.3"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</row>
    <row r="96" spans="10:58" x14ac:dyDescent="0.3"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</row>
    <row r="97" spans="10:58" x14ac:dyDescent="0.3"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</row>
    <row r="98" spans="10:58" x14ac:dyDescent="0.3"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</row>
    <row r="99" spans="10:58" x14ac:dyDescent="0.3"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</row>
    <row r="100" spans="10:58" x14ac:dyDescent="0.3"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</row>
    <row r="101" spans="10:58" x14ac:dyDescent="0.3"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</row>
    <row r="102" spans="10:58" x14ac:dyDescent="0.3"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</row>
    <row r="103" spans="10:58" x14ac:dyDescent="0.3"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</row>
    <row r="104" spans="10:58" x14ac:dyDescent="0.3"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</row>
    <row r="105" spans="10:58" x14ac:dyDescent="0.3"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</row>
    <row r="106" spans="10:58" x14ac:dyDescent="0.3"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</row>
    <row r="107" spans="10:58" x14ac:dyDescent="0.3"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</row>
    <row r="108" spans="10:58" x14ac:dyDescent="0.3"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</row>
    <row r="109" spans="10:58" x14ac:dyDescent="0.3"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</row>
    <row r="110" spans="10:58" x14ac:dyDescent="0.3"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</row>
    <row r="111" spans="10:58" x14ac:dyDescent="0.3"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</row>
    <row r="112" spans="10:58" x14ac:dyDescent="0.3"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</row>
    <row r="113" spans="10:58" x14ac:dyDescent="0.3"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</row>
    <row r="114" spans="10:58" x14ac:dyDescent="0.3"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</row>
    <row r="115" spans="10:58" x14ac:dyDescent="0.3"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</row>
    <row r="116" spans="10:58" x14ac:dyDescent="0.3"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</row>
    <row r="117" spans="10:58" x14ac:dyDescent="0.3"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</row>
    <row r="118" spans="10:58" x14ac:dyDescent="0.3"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</row>
    <row r="119" spans="10:58" x14ac:dyDescent="0.3"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</row>
    <row r="120" spans="10:58" x14ac:dyDescent="0.3"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</row>
    <row r="121" spans="10:58" x14ac:dyDescent="0.3"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</row>
    <row r="122" spans="10:58" x14ac:dyDescent="0.3"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</row>
    <row r="123" spans="10:58" x14ac:dyDescent="0.3"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</row>
    <row r="124" spans="10:58" x14ac:dyDescent="0.3"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</row>
    <row r="125" spans="10:58" x14ac:dyDescent="0.3"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</row>
    <row r="126" spans="10:58" x14ac:dyDescent="0.3"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</row>
    <row r="127" spans="10:58" x14ac:dyDescent="0.3"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</row>
    <row r="128" spans="10:58" x14ac:dyDescent="0.3"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</row>
    <row r="129" spans="10:58" x14ac:dyDescent="0.3"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</row>
    <row r="130" spans="10:58" x14ac:dyDescent="0.3"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</row>
    <row r="131" spans="10:58" x14ac:dyDescent="0.3"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</row>
    <row r="132" spans="10:58" x14ac:dyDescent="0.3"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</row>
    <row r="133" spans="10:58" x14ac:dyDescent="0.3"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</row>
    <row r="134" spans="10:58" x14ac:dyDescent="0.3"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</row>
    <row r="135" spans="10:58" x14ac:dyDescent="0.3"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</row>
    <row r="136" spans="10:58" x14ac:dyDescent="0.3"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</row>
    <row r="137" spans="10:58" x14ac:dyDescent="0.3"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</row>
    <row r="138" spans="10:58" x14ac:dyDescent="0.3"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</row>
    <row r="139" spans="10:58" x14ac:dyDescent="0.3"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ref_activity</vt:lpstr>
      <vt:lpstr>rumus tanggal</vt:lpstr>
      <vt:lpstr>value_rencana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Wawan Siswanto</dc:creator>
  <cp:keywords/>
  <dc:description/>
  <cp:lastModifiedBy>Wawan Siswanto</cp:lastModifiedBy>
  <cp:revision/>
  <dcterms:created xsi:type="dcterms:W3CDTF">2023-08-03T02:45:22Z</dcterms:created>
  <dcterms:modified xsi:type="dcterms:W3CDTF">2026-09-17T05:51:36Z</dcterms:modified>
  <cp:category/>
  <cp:contentStatus/>
</cp:coreProperties>
</file>